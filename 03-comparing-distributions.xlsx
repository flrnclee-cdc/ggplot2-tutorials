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ggplot2-tutorials/"/>
    </mc:Choice>
  </mc:AlternateContent>
  <xr:revisionPtr revIDLastSave="183" documentId="8_{A8E2706A-995A-439C-8C95-805F1B73F281}" xr6:coauthVersionLast="47" xr6:coauthVersionMax="47" xr10:uidLastSave="{2D98F605-ECC3-4F8F-A977-2EA701C00C8B}"/>
  <bookViews>
    <workbookView xWindow="36150" yWindow="-4680" windowWidth="27630" windowHeight="17730" xr2:uid="{FCD4951C-F66D-4A0C-9534-E4EDBEEE42D9}"/>
  </bookViews>
  <sheets>
    <sheet name="1-data" sheetId="1" r:id="rId1"/>
    <sheet name="2-solution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<sst xmlns="http://schemas.openxmlformats.org/spreadsheetml/2006/main" count="95" uniqueCount="20">
  <si>
    <t>age</t>
  </si>
  <si>
    <t>stay_length</t>
  </si>
  <si>
    <t>percent</t>
  </si>
  <si>
    <t>All ages</t>
  </si>
  <si>
    <t>0-1 days</t>
  </si>
  <si>
    <t>2-6 days</t>
  </si>
  <si>
    <t>7+ days</t>
  </si>
  <si>
    <t>0-4</t>
  </si>
  <si>
    <t>5-14</t>
  </si>
  <si>
    <t>15-19</t>
  </si>
  <si>
    <t>20-24</t>
  </si>
  <si>
    <t>25-34</t>
  </si>
  <si>
    <t>35-44</t>
  </si>
  <si>
    <t>45-64</t>
  </si>
  <si>
    <t>65+</t>
  </si>
  <si>
    <t>Row Labels</t>
  </si>
  <si>
    <t>Grand Total</t>
  </si>
  <si>
    <t>Sum of percent</t>
  </si>
  <si>
    <t>Percent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</si>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</sst>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4F6A"/>
      <color rgb="FF0D86B7"/>
      <color rgb="FFDE5A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'2-solution'!$B$10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BED-47CB-A63B-CA20EF0F2156}"/>
              </c:ext>
            </c:extLst>
          </c:dPt>
          <c:dPt>
            <c:idx val="1"/>
            <c:bubble3D val="0"/>
            <c:spPr>
              <a:solidFill>
                <a:srgbClr val="0D86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ED-47CB-A63B-CA20EF0F2156}"/>
              </c:ext>
            </c:extLst>
          </c:dPt>
          <c:dPt>
            <c:idx val="2"/>
            <c:bubble3D val="0"/>
            <c:spPr>
              <a:solidFill>
                <a:srgbClr val="084F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ED-47CB-A63B-CA20EF0F2156}"/>
              </c:ext>
            </c:extLst>
          </c:dPt>
          <c:dLbls>
            <c:dLbl>
              <c:idx val="0"/>
              <c:layout>
                <c:manualLayout>
                  <c:x val="-0.19963246995110978"/>
                  <c:y val="0.179056341862175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="1" baseline="0"/>
                      <a:t>30.2%</a:t>
                    </a:r>
                    <a:br>
                      <a:rPr lang="en-US" sz="1800" b="1" baseline="0"/>
                    </a:br>
                    <a:r>
                      <a:rPr lang="en-US" sz="1200" b="0" i="0" u="none" strike="noStrike" kern="1200" baseline="0">
                        <a:solidFill>
                          <a:sysClr val="windowText" lastClr="000000"/>
                        </a:solidFill>
                      </a:rPr>
                      <a:t>stayed </a:t>
                    </a:r>
                    <a:fld id="{B3421396-1192-4394-BD18-C38D4133C9C4}" type="CATEGORYNAME">
                      <a:rPr lang="en-US" sz="1200" b="0" i="0" u="none" strike="noStrike" kern="1200" baseline="0">
                        <a:solidFill>
                          <a:sysClr val="windowText" lastClr="000000"/>
                        </a:solidFill>
                      </a:rPr>
                      <a:pPr algn="ctr">
                        <a:defRPr sz="1200"/>
                      </a:pPr>
                      <a:t>[CATEGORY NAME]</a:t>
                    </a:fld>
                    <a:endParaRPr lang="en-US" sz="12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63559721040811"/>
                      <c:h val="0.157688350471514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BED-47CB-A63B-CA20EF0F2156}"/>
                </c:ext>
              </c:extLst>
            </c:dLbl>
            <c:dLbl>
              <c:idx val="1"/>
              <c:layout>
                <c:manualLayout>
                  <c:x val="0.11224088193138394"/>
                  <c:y val="-0.1350683278936289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BED34F-E35C-41D7-8CA3-9B9C81607A85}" type="VALUE">
                      <a:rPr lang="en-US" sz="1800" b="1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sz="1800" b="1" baseline="0">
                        <a:solidFill>
                          <a:schemeClr val="bg1"/>
                        </a:solidFill>
                      </a:rPr>
                      <a:t>%</a:t>
                    </a:r>
                    <a:br>
                      <a:rPr lang="en-US" sz="1800" b="1" baseline="0">
                        <a:solidFill>
                          <a:schemeClr val="bg1"/>
                        </a:solidFill>
                      </a:rPr>
                    </a:br>
                    <a:r>
                      <a:rPr lang="en-US" sz="1200" b="0" baseline="0">
                        <a:solidFill>
                          <a:schemeClr val="bg1"/>
                        </a:solidFill>
                      </a:rPr>
                      <a:t>stayed </a:t>
                    </a:r>
                    <a:fld id="{BCB495D5-A431-4F25-B59E-DAB539624332}" type="CATEGORYNAME"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br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</a:br>
                    <a:endParaRPr lang="en-US" sz="1200" b="0" i="0" u="none" strike="noStrike" kern="12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21704658077298"/>
                      <c:h val="0.298892436469984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BED-47CB-A63B-CA20EF0F2156}"/>
                </c:ext>
              </c:extLst>
            </c:dLbl>
            <c:dLbl>
              <c:idx val="2"/>
              <c:layout>
                <c:manualLayout>
                  <c:x val="0.21187189311940563"/>
                  <c:y val="0.245550251848074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C6B003-9F80-462A-A565-ACD02E32B21D}" type="VALUE">
                      <a:rPr lang="en-US" sz="1800" b="1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sz="1800" b="1" baseline="0">
                        <a:solidFill>
                          <a:schemeClr val="bg1"/>
                        </a:solidFill>
                      </a:rPr>
                      <a:t>%</a:t>
                    </a:r>
                    <a:br>
                      <a:rPr lang="en-US" sz="1800" b="1" baseline="0">
                        <a:solidFill>
                          <a:schemeClr val="bg1"/>
                        </a:solidFill>
                      </a:rPr>
                    </a:br>
                    <a:r>
                      <a:rPr lang="en-US" sz="1200" b="0" baseline="0">
                        <a:solidFill>
                          <a:schemeClr val="bg1"/>
                        </a:solidFill>
                      </a:rPr>
                      <a:t>stayed </a:t>
                    </a:r>
                    <a:fld id="{52F2BC7A-2451-4040-8054-BA77A93D229B}" type="CATEGORYNAME"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  <a:pPr algn="ctr">
                        <a:defRPr sz="12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br>
                      <a:rPr lang="en-US" sz="1200" b="0" i="0" u="none" strike="noStrike" kern="1200" baseline="0">
                        <a:solidFill>
                          <a:schemeClr val="bg1"/>
                        </a:solidFill>
                      </a:rPr>
                    </a:br>
                    <a:endParaRPr lang="en-US" sz="1200" b="0" i="0" u="none" strike="noStrike" kern="12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86177941830609"/>
                      <c:h val="0.298892436469984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BED-47CB-A63B-CA20EF0F21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'2-solution'!$A$11:$A$13</c:f>
              <c:strCache>
                <c:ptCount val="3"/>
                <c:pt idx="0">
                  <c:v>0-1 days</c:v>
                </c:pt>
                <c:pt idx="1">
                  <c:v>2-6 days</c:v>
                </c:pt>
                <c:pt idx="2">
                  <c:v>7+ days</c:v>
                </c:pt>
              </c:strCache>
            </c:strRef>
          </c:cat>
          <c:val>
            <c:numRef>
              <c:f>'2-solution'!$B$11:$B$13</c:f>
              <c:numCache>
                <c:formatCode>General</c:formatCode>
                <c:ptCount val="3"/>
                <c:pt idx="0">
                  <c:v>30.2</c:v>
                </c:pt>
                <c:pt idx="1">
                  <c:v>44.5</c:v>
                </c:pt>
                <c:pt idx="2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D-47CB-A63B-CA20EF0F2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'2-solution'!$B$10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32-45D4-A964-B0995CE09939}"/>
              </c:ext>
            </c:extLst>
          </c:dPt>
          <c:dPt>
            <c:idx val="1"/>
            <c:bubble3D val="0"/>
            <c:spPr>
              <a:solidFill>
                <a:srgbClr val="0D86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32-45D4-A964-B0995CE0993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32-45D4-A964-B0995CE09939}"/>
              </c:ext>
            </c:extLst>
          </c:dPt>
          <c:dLbls>
            <c:dLbl>
              <c:idx val="0"/>
              <c:layout>
                <c:manualLayout>
                  <c:x val="9.5015437476195397E-2"/>
                  <c:y val="-0.107508390892083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92042374969201"/>
                      <c:h val="0.157688286377699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532-45D4-A964-B0995CE09939}"/>
                </c:ext>
              </c:extLst>
            </c:dLbl>
            <c:dLbl>
              <c:idx val="1"/>
              <c:layout>
                <c:manualLayout>
                  <c:x val="3.7956342633992377E-2"/>
                  <c:y val="-0.315777453710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BED34F-E35C-41D7-8CA3-9B9C81607A85}" type="VALUE">
                      <a:rPr lang="en-US" sz="2400" b="1" baseline="0">
                        <a:solidFill>
                          <a:sysClr val="windowText" lastClr="000000"/>
                        </a:solidFill>
                      </a:rPr>
                      <a:pPr algn="ctr">
                        <a:defRPr sz="1200"/>
                      </a:pPr>
                      <a:t>[VALUE]</a:t>
                    </a:fld>
                    <a:r>
                      <a:rPr lang="en-US" sz="2400" b="1" baseline="0">
                        <a:solidFill>
                          <a:sysClr val="windowText" lastClr="000000"/>
                        </a:solidFill>
                      </a:rPr>
                      <a:t>%</a:t>
                    </a:r>
                    <a:br>
                      <a:rPr lang="en-US" sz="18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600" b="0" baseline="0">
                        <a:solidFill>
                          <a:sysClr val="windowText" lastClr="000000"/>
                        </a:solidFill>
                      </a:rPr>
                      <a:t>stayed </a:t>
                    </a:r>
                    <a:fld id="{BCB495D5-A431-4F25-B59E-DAB539624332}" type="CATEGORYNAME">
                      <a:rPr lang="en-US" sz="1600" b="1" i="0" u="none" strike="noStrike" kern="1200" baseline="0">
                        <a:solidFill>
                          <a:sysClr val="windowText" lastClr="000000"/>
                        </a:solidFill>
                      </a:rPr>
                      <a:pPr algn="ctr">
                        <a:defRPr sz="1200"/>
                      </a:pPr>
                      <a:t>[CATEGORY NAME]</a:t>
                    </a:fld>
                    <a:br>
                      <a:rPr lang="en-US" sz="1600" b="0" i="0" u="none" strike="noStrike" kern="1200" baseline="0">
                        <a:solidFill>
                          <a:sysClr val="windowText" lastClr="000000"/>
                        </a:solidFill>
                      </a:rPr>
                    </a:br>
                    <a:endParaRPr lang="en-US" sz="1600" b="0" i="0" u="none" strike="noStrike" kern="12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515063873021196"/>
                      <c:h val="0.3380096756580069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532-45D4-A964-B0995CE09939}"/>
                </c:ext>
              </c:extLst>
            </c:dLbl>
            <c:dLbl>
              <c:idx val="2"/>
              <c:layout>
                <c:manualLayout>
                  <c:x val="-8.9464043086785197E-2"/>
                  <c:y val="-8.37687538389077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4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32-45D4-A964-B0995CE09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'2-solution'!$A$11:$A$13</c:f>
              <c:strCache>
                <c:ptCount val="3"/>
                <c:pt idx="0">
                  <c:v>0-1 days</c:v>
                </c:pt>
                <c:pt idx="1">
                  <c:v>2-6 days</c:v>
                </c:pt>
                <c:pt idx="2">
                  <c:v>7+ days</c:v>
                </c:pt>
              </c:strCache>
            </c:strRef>
          </c:cat>
          <c:val>
            <c:numRef>
              <c:f>'2-solution'!$B$11:$B$13</c:f>
              <c:numCache>
                <c:formatCode>General</c:formatCode>
                <c:ptCount val="3"/>
                <c:pt idx="0">
                  <c:v>30.2</c:v>
                </c:pt>
                <c:pt idx="1">
                  <c:v>44.5</c:v>
                </c:pt>
                <c:pt idx="2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32-45D4-A964-B0995CE0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'2-solution'!$A$37</c:f>
              <c:strCache>
                <c:ptCount val="1"/>
                <c:pt idx="0">
                  <c:v>0-1 days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'2-solution'!$B$36:$I$36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15-19</c:v>
                </c:pt>
                <c:pt idx="3">
                  <c:v>20-24</c:v>
                </c:pt>
                <c:pt idx="4">
                  <c:v>25-34</c:v>
                </c:pt>
                <c:pt idx="5">
                  <c:v>35-44</c:v>
                </c:pt>
                <c:pt idx="6">
                  <c:v>45-64</c:v>
                </c:pt>
                <c:pt idx="7">
                  <c:v>65+</c:v>
                </c:pt>
              </c:strCache>
            </c:strRef>
          </c:cat>
          <c:val>
            <c:numRef>
              <c:f>'2-solution'!$B$37:$I$37</c:f>
              <c:numCache>
                <c:formatCode>General</c:formatCode>
                <c:ptCount val="8"/>
                <c:pt idx="0">
                  <c:v>50.2</c:v>
                </c:pt>
                <c:pt idx="1">
                  <c:v>46.4</c:v>
                </c:pt>
                <c:pt idx="2">
                  <c:v>38.4</c:v>
                </c:pt>
                <c:pt idx="3">
                  <c:v>34.5</c:v>
                </c:pt>
                <c:pt idx="4">
                  <c:v>33</c:v>
                </c:pt>
                <c:pt idx="5">
                  <c:v>28.3</c:v>
                </c:pt>
                <c:pt idx="6">
                  <c:v>23.7</c:v>
                </c:pt>
                <c:pt idx="7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3-4536-BDEC-435FA06F3D4F}"/>
            </c:ext>
          </c:extLst>
        </c:ser>
        <c:ser>
          <c:idx val="1"/>
          <c:order val="1"/>
          <c:tx>
            <c:strRef>
              <c:f>'2-solution'!$A$38</c:f>
              <c:strCache>
                <c:ptCount val="1"/>
                <c:pt idx="0">
                  <c:v>2-6 days</c:v>
                </c:pt>
              </c:strCache>
            </c:strRef>
          </c:tx>
          <c:spPr>
            <a:solidFill>
              <a:srgbClr val="0D86B7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'2-solution'!$B$36:$I$36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15-19</c:v>
                </c:pt>
                <c:pt idx="3">
                  <c:v>20-24</c:v>
                </c:pt>
                <c:pt idx="4">
                  <c:v>25-34</c:v>
                </c:pt>
                <c:pt idx="5">
                  <c:v>35-44</c:v>
                </c:pt>
                <c:pt idx="6">
                  <c:v>45-64</c:v>
                </c:pt>
                <c:pt idx="7">
                  <c:v>65+</c:v>
                </c:pt>
              </c:strCache>
            </c:strRef>
          </c:cat>
          <c:val>
            <c:numRef>
              <c:f>'2-solution'!$B$38:$I$38</c:f>
              <c:numCache>
                <c:formatCode>General</c:formatCode>
                <c:ptCount val="8"/>
                <c:pt idx="0">
                  <c:v>37.9</c:v>
                </c:pt>
                <c:pt idx="1">
                  <c:v>40.1</c:v>
                </c:pt>
                <c:pt idx="2">
                  <c:v>40.4</c:v>
                </c:pt>
                <c:pt idx="3">
                  <c:v>42</c:v>
                </c:pt>
                <c:pt idx="4">
                  <c:v>43.4</c:v>
                </c:pt>
                <c:pt idx="5">
                  <c:v>45.4</c:v>
                </c:pt>
                <c:pt idx="6">
                  <c:v>46.3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3-4536-BDEC-435FA06F3D4F}"/>
            </c:ext>
          </c:extLst>
        </c:ser>
        <c:ser>
          <c:idx val="2"/>
          <c:order val="2"/>
          <c:tx>
            <c:strRef>
              <c:f>'2-solution'!$A$39</c:f>
              <c:strCache>
                <c:ptCount val="1"/>
                <c:pt idx="0">
                  <c:v>7+ days</c:v>
                </c:pt>
              </c:strCache>
            </c:strRef>
          </c:tx>
          <c:spPr>
            <a:solidFill>
              <a:srgbClr val="DE5A18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'2-solution'!$B$36:$I$36</c:f>
              <c:strCache>
                <c:ptCount val="8"/>
                <c:pt idx="0">
                  <c:v>0-4</c:v>
                </c:pt>
                <c:pt idx="1">
                  <c:v>5-14</c:v>
                </c:pt>
                <c:pt idx="2">
                  <c:v>15-19</c:v>
                </c:pt>
                <c:pt idx="3">
                  <c:v>20-24</c:v>
                </c:pt>
                <c:pt idx="4">
                  <c:v>25-34</c:v>
                </c:pt>
                <c:pt idx="5">
                  <c:v>35-44</c:v>
                </c:pt>
                <c:pt idx="6">
                  <c:v>45-64</c:v>
                </c:pt>
                <c:pt idx="7">
                  <c:v>65+</c:v>
                </c:pt>
              </c:strCache>
            </c:strRef>
          </c:cat>
          <c:val>
            <c:numRef>
              <c:f>'2-solution'!$B$39:$I$39</c:f>
              <c:numCache>
                <c:formatCode>General</c:formatCode>
                <c:ptCount val="8"/>
                <c:pt idx="0">
                  <c:v>11.9</c:v>
                </c:pt>
                <c:pt idx="1">
                  <c:v>13.4</c:v>
                </c:pt>
                <c:pt idx="2">
                  <c:v>21.1</c:v>
                </c:pt>
                <c:pt idx="3">
                  <c:v>23.4</c:v>
                </c:pt>
                <c:pt idx="4">
                  <c:v>23.5</c:v>
                </c:pt>
                <c:pt idx="5">
                  <c:v>26.3</c:v>
                </c:pt>
                <c:pt idx="6">
                  <c:v>30</c:v>
                </c:pt>
                <c:pt idx="7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3-4536-BDEC-435FA06F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171486192"/>
        <c:axId val="1171485232"/>
      </c:barChart>
      <c:catAx>
        <c:axId val="11714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85232"/>
        <c:crosses val="autoZero"/>
        <c:auto val="1"/>
        <c:lblAlgn val="ctr"/>
        <c:lblOffset val="100"/>
        <c:noMultiLvlLbl val="0"/>
      </c:catAx>
      <c:valAx>
        <c:axId val="11714852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7148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140638</xdr:colOff>
      <xdr:row>5</xdr:row>
      <xdr:rowOff>170828</xdr:rowOff>
    </xdr:from>
    <xdr:to>
      <xdr:col>12</xdr:col>
      <xdr:colOff>582515</xdr:colOff>
      <xdr:row>23</xdr:row>
      <xdr:rowOff>148921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27339-5DC7-25BC-BD0D-E5C754C9B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106349</xdr:colOff>
      <xdr:row>2</xdr:row>
      <xdr:rowOff>40822</xdr:rowOff>
    </xdr:from>
    <xdr:to>
      <xdr:col>12</xdr:col>
      <xdr:colOff>546321</xdr:colOff>
      <xdr:row>7</xdr:row>
      <xdr:rowOff>87300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376D7-3745-480D-8A72-61673C40FED8}"/>
            </a:ext>
          </a:extLst>
        </xdr:cNvPr>
        <xdr:cNvSpPr txBox="1"/>
      </xdr:nvSpPr>
      <xdr:spPr>
        <a:xfrm>
          <a:off x="3358456" y="394608"/>
          <a:ext cx="3855365" cy="930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chemeClr val="tx1"/>
              </a:solidFill>
            </a:rPr>
            <a:t>Most people (44.5%) with a traumatic brain injury-related discharge stayed in the hospital for </a:t>
          </a:r>
          <a:r>
            <a:rPr lang="en-US" sz="1600" b="1" baseline="0">
              <a:solidFill>
                <a:srgbClr val="0D86B7"/>
              </a:solidFill>
            </a:rPr>
            <a:t>2 to 6 days</a:t>
          </a:r>
          <a:r>
            <a:rPr lang="en-US" sz="1600" b="1" baseline="0">
              <a:solidFill>
                <a:schemeClr val="tx1"/>
              </a:solidFill>
            </a:rPr>
            <a:t>.</a:t>
          </a:r>
        </a:p>
      </xdr:txBody>
    </xdr:sp>
    <xdr:clientData/>
  </xdr:twoCellAnchor>
  <xdr:twoCellAnchor>
    <xdr:from>
      <xdr:col>13</xdr:col>
      <xdr:colOff>206484</xdr:colOff>
      <xdr:row>6</xdr:row>
      <xdr:rowOff>18759</xdr:rowOff>
    </xdr:from>
    <xdr:to>
      <xdr:col>20</xdr:col>
      <xdr:colOff>0</xdr:colOff>
      <xdr:row>24</xdr:row>
      <xdr:rowOff>17807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BDA5D-142F-471D-8861-A12DFBBC8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449444</xdr:colOff>
      <xdr:row>34</xdr:row>
      <xdr:rowOff>157706</xdr:rowOff>
    </xdr:from>
    <xdr:to>
      <xdr:col>18</xdr:col>
      <xdr:colOff>553267</xdr:colOff>
      <xdr:row>53</xdr:row>
      <xdr:rowOff>68852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B137F1-B412-9D80-133E-137B75B58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62866</xdr:colOff>
      <xdr:row>28</xdr:row>
      <xdr:rowOff>18742</xdr:rowOff>
    </xdr:from>
    <xdr:to>
      <xdr:col>18</xdr:col>
      <xdr:colOff>435973</xdr:colOff>
      <xdr:row>35</xdr:row>
      <xdr:rowOff>82708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7B67A9-EE0B-4BB5-B8DB-A44AE96AE14A}"/>
            </a:ext>
          </a:extLst>
        </xdr:cNvPr>
        <xdr:cNvSpPr txBox="1"/>
      </xdr:nvSpPr>
      <xdr:spPr>
        <a:xfrm>
          <a:off x="5328286" y="5139382"/>
          <a:ext cx="5394687" cy="1344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90000"/>
            </a:lnSpc>
          </a:pPr>
          <a:r>
            <a:rPr lang="en-US" sz="1600" b="1" baseline="0">
              <a:solidFill>
                <a:schemeClr val="tx1"/>
              </a:solidFill>
            </a:rPr>
            <a:t>Among people with a traumatic brain injury-related discharge, the percentage who stay in the hospital for </a:t>
          </a:r>
          <a:r>
            <a:rPr lang="en-US" sz="1600" b="1" baseline="0">
              <a:solidFill>
                <a:srgbClr val="DE5A18"/>
              </a:solidFill>
            </a:rPr>
            <a:t>7 or more days </a:t>
          </a:r>
          <a:r>
            <a:rPr lang="en-US" sz="1600" b="1" baseline="0">
              <a:solidFill>
                <a:schemeClr val="tx1"/>
              </a:solidFill>
            </a:rPr>
            <a:t>increases with age.</a:t>
          </a:r>
        </a:p>
        <a:p>
          <a:endParaRPr lang="en-US" sz="500" b="0" baseline="0">
            <a:solidFill>
              <a:schemeClr val="tx1"/>
            </a:solidFill>
          </a:endParaRPr>
        </a:p>
        <a:p>
          <a:r>
            <a:rPr lang="en-US" sz="1200" b="0" baseline="0">
              <a:solidFill>
                <a:schemeClr val="tx1"/>
              </a:solidFill>
            </a:rPr>
            <a:t>Among people aged 65 years and over, 35.7% of TBI-related discharges lasted 7 or more days compared with 11.9% among children 0-4 years.</a:t>
          </a:r>
        </a:p>
      </xdr:txBody>
    </xdr:sp>
    <xdr:clientData/>
  </xdr:twoCellAnchor>
  <xdr:twoCellAnchor>
    <xdr:from>
      <xdr:col>13</xdr:col>
      <xdr:colOff>172196</xdr:colOff>
      <xdr:row>2</xdr:row>
      <xdr:rowOff>19051</xdr:rowOff>
    </xdr:from>
    <xdr:to>
      <xdr:col>19</xdr:col>
      <xdr:colOff>571500</xdr:colOff>
      <xdr:row>7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F3630C-B5BF-421D-A8C9-0A17AF8AAE7D}"/>
            </a:ext>
          </a:extLst>
        </xdr:cNvPr>
        <xdr:cNvSpPr txBox="1"/>
      </xdr:nvSpPr>
      <xdr:spPr>
        <a:xfrm>
          <a:off x="7420721" y="381001"/>
          <a:ext cx="4056904" cy="923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chemeClr val="tx1"/>
              </a:solidFill>
            </a:rPr>
            <a:t>Most people (44.5%) with a traumatic brain injury-related discharge stayed in the hospital for </a:t>
          </a:r>
          <a:r>
            <a:rPr lang="en-US" sz="1600" b="1" baseline="0">
              <a:solidFill>
                <a:srgbClr val="0D86B7"/>
              </a:solidFill>
            </a:rPr>
            <a:t>2 to 6 days</a:t>
          </a:r>
          <a:r>
            <a:rPr lang="en-US" sz="1600" b="1" baseline="0">
              <a:solidFill>
                <a:schemeClr val="tx1"/>
              </a:solidFill>
            </a:rPr>
            <a:t>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45.445811342594" createdVersion="8" refreshedVersion="8" minRefreshableVersion="3" recordCount="27" xr:uid="{00D5008C-C942-4B7C-82C0-62C9331B5EFA}">
  <cacheSource type="worksheet">
    <worksheetSource ref="A1:C28" sheet="1-data"/>
  </cacheSource>
  <cacheFields count="3">
    <cacheField name="age" numFmtId="0">
      <sharedItems count="9">
        <s v="All ages"/>
        <s v="0-4"/>
        <s v="5-14"/>
        <s v="15-19"/>
        <s v="20-24"/>
        <s v="25-34"/>
        <s v="35-44"/>
        <s v="45-64"/>
        <s v="65+"/>
      </sharedItems>
    </cacheField>
    <cacheField name="stay_length" numFmtId="0">
      <sharedItems count="3">
        <s v="0-1 days"/>
        <s v="2-6 days"/>
        <s v="7+ days"/>
      </sharedItems>
    </cacheField>
    <cacheField name="percent" numFmtId="0">
      <sharedItems containsSemiMixedTypes="0" containsString="0" containsNumber="1" minValue="11.9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30.2"/>
  </r>
  <r>
    <x v="0"/>
    <x v="1"/>
    <n v="44.5"/>
  </r>
  <r>
    <x v="0"/>
    <x v="2"/>
    <n v="25.2"/>
  </r>
  <r>
    <x v="1"/>
    <x v="0"/>
    <n v="50.2"/>
  </r>
  <r>
    <x v="1"/>
    <x v="1"/>
    <n v="37.9"/>
  </r>
  <r>
    <x v="1"/>
    <x v="2"/>
    <n v="11.9"/>
  </r>
  <r>
    <x v="2"/>
    <x v="0"/>
    <n v="46.4"/>
  </r>
  <r>
    <x v="2"/>
    <x v="1"/>
    <n v="40.1"/>
  </r>
  <r>
    <x v="2"/>
    <x v="2"/>
    <n v="13.4"/>
  </r>
  <r>
    <x v="3"/>
    <x v="0"/>
    <n v="38.4"/>
  </r>
  <r>
    <x v="3"/>
    <x v="1"/>
    <n v="40.4"/>
  </r>
  <r>
    <x v="3"/>
    <x v="2"/>
    <n v="21.1"/>
  </r>
  <r>
    <x v="4"/>
    <x v="0"/>
    <n v="34.5"/>
  </r>
  <r>
    <x v="4"/>
    <x v="1"/>
    <n v="42"/>
  </r>
  <r>
    <x v="4"/>
    <x v="2"/>
    <n v="23.4"/>
  </r>
  <r>
    <x v="5"/>
    <x v="0"/>
    <n v="33"/>
  </r>
  <r>
    <x v="5"/>
    <x v="1"/>
    <n v="43.4"/>
  </r>
  <r>
    <x v="5"/>
    <x v="2"/>
    <n v="23.5"/>
  </r>
  <r>
    <x v="6"/>
    <x v="0"/>
    <n v="28.3"/>
  </r>
  <r>
    <x v="6"/>
    <x v="1"/>
    <n v="45.4"/>
  </r>
  <r>
    <x v="6"/>
    <x v="2"/>
    <n v="26.3"/>
  </r>
  <r>
    <x v="7"/>
    <x v="0"/>
    <n v="23.7"/>
  </r>
  <r>
    <x v="7"/>
    <x v="1"/>
    <n v="46.3"/>
  </r>
  <r>
    <x v="7"/>
    <x v="2"/>
    <n v="30"/>
  </r>
  <r>
    <x v="8"/>
    <x v="0"/>
    <n v="13.3"/>
  </r>
  <r>
    <x v="8"/>
    <x v="1"/>
    <n v="51"/>
  </r>
  <r>
    <x v="8"/>
    <x v="2"/>
    <n v="35.7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2B7BD-BEAA-444A-9A58-FBF3EEBFBFC2}" name="PivotTable2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9:I34" firstHeaderRow="1" firstDataRow="2" firstDataCol="1"/>
  <pivotFields count="3">
    <pivotField axis="axisCol" showAll="0">
      <items count="10">
        <item x="1"/>
        <item x="2"/>
        <item x="3"/>
        <item x="4"/>
        <item x="5"/>
        <item x="6"/>
        <item x="7"/>
        <item x="8"/>
        <item h="1"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perc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4A560-F615-43B4-B6E4-417B8CDDFBF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Page" showAll="0">
      <items count="10">
        <item x="1"/>
        <item x="3"/>
        <item x="4"/>
        <item x="5"/>
        <item x="6"/>
        <item x="7"/>
        <item x="2"/>
        <item x="8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8" hier="-1"/>
  </pageFields>
  <dataFields count="1">
    <dataField name="Sum of perc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1A64-154A-43F4-B758-A10E92E53B01}">
  <dimension ref="A1:C28"/>
  <sheetViews>
    <sheetView tabSelected="1" workbookViewId="0">
      <selection activeCell="K18" sqref="K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30.2</v>
      </c>
    </row>
    <row r="3" spans="1:3" x14ac:dyDescent="0.3">
      <c r="A3" t="s">
        <v>3</v>
      </c>
      <c r="B3" t="s">
        <v>5</v>
      </c>
      <c r="C3">
        <v>44.5</v>
      </c>
    </row>
    <row r="4" spans="1:3" x14ac:dyDescent="0.3">
      <c r="A4" t="s">
        <v>3</v>
      </c>
      <c r="B4" t="s">
        <v>6</v>
      </c>
      <c r="C4">
        <v>25.2</v>
      </c>
    </row>
    <row r="5" spans="1:3" x14ac:dyDescent="0.3">
      <c r="A5" s="1" t="s">
        <v>7</v>
      </c>
      <c r="B5" t="s">
        <v>4</v>
      </c>
      <c r="C5">
        <v>50.2</v>
      </c>
    </row>
    <row r="6" spans="1:3" x14ac:dyDescent="0.3">
      <c r="A6" s="1" t="s">
        <v>7</v>
      </c>
      <c r="B6" t="s">
        <v>5</v>
      </c>
      <c r="C6">
        <v>37.9</v>
      </c>
    </row>
    <row r="7" spans="1:3" x14ac:dyDescent="0.3">
      <c r="A7" s="1" t="s">
        <v>7</v>
      </c>
      <c r="B7" t="s">
        <v>6</v>
      </c>
      <c r="C7">
        <v>11.9</v>
      </c>
    </row>
    <row r="8" spans="1:3" x14ac:dyDescent="0.3">
      <c r="A8" s="1" t="s">
        <v>8</v>
      </c>
      <c r="B8" t="s">
        <v>4</v>
      </c>
      <c r="C8">
        <v>46.4</v>
      </c>
    </row>
    <row r="9" spans="1:3" x14ac:dyDescent="0.3">
      <c r="A9" s="1" t="s">
        <v>8</v>
      </c>
      <c r="B9" t="s">
        <v>5</v>
      </c>
      <c r="C9">
        <v>40.1</v>
      </c>
    </row>
    <row r="10" spans="1:3" x14ac:dyDescent="0.3">
      <c r="A10" s="1" t="s">
        <v>8</v>
      </c>
      <c r="B10" t="s">
        <v>6</v>
      </c>
      <c r="C10">
        <v>13.4</v>
      </c>
    </row>
    <row r="11" spans="1:3" x14ac:dyDescent="0.3">
      <c r="A11" s="1" t="s">
        <v>9</v>
      </c>
      <c r="B11" t="s">
        <v>4</v>
      </c>
      <c r="C11">
        <v>38.4</v>
      </c>
    </row>
    <row r="12" spans="1:3" x14ac:dyDescent="0.3">
      <c r="A12" s="1" t="s">
        <v>9</v>
      </c>
      <c r="B12" t="s">
        <v>5</v>
      </c>
      <c r="C12">
        <v>40.4</v>
      </c>
    </row>
    <row r="13" spans="1:3" x14ac:dyDescent="0.3">
      <c r="A13" s="1" t="s">
        <v>9</v>
      </c>
      <c r="B13" t="s">
        <v>6</v>
      </c>
      <c r="C13">
        <v>21.1</v>
      </c>
    </row>
    <row r="14" spans="1:3" x14ac:dyDescent="0.3">
      <c r="A14" s="1" t="s">
        <v>10</v>
      </c>
      <c r="B14" t="s">
        <v>4</v>
      </c>
      <c r="C14">
        <v>34.5</v>
      </c>
    </row>
    <row r="15" spans="1:3" x14ac:dyDescent="0.3">
      <c r="A15" s="1" t="s">
        <v>10</v>
      </c>
      <c r="B15" t="s">
        <v>5</v>
      </c>
      <c r="C15">
        <v>42</v>
      </c>
    </row>
    <row r="16" spans="1:3" x14ac:dyDescent="0.3">
      <c r="A16" s="1" t="s">
        <v>10</v>
      </c>
      <c r="B16" t="s">
        <v>6</v>
      </c>
      <c r="C16">
        <v>23.4</v>
      </c>
    </row>
    <row r="17" spans="1:3" x14ac:dyDescent="0.3">
      <c r="A17" s="1" t="s">
        <v>11</v>
      </c>
      <c r="B17" t="s">
        <v>4</v>
      </c>
      <c r="C17">
        <v>33</v>
      </c>
    </row>
    <row r="18" spans="1:3" x14ac:dyDescent="0.3">
      <c r="A18" s="1" t="s">
        <v>11</v>
      </c>
      <c r="B18" t="s">
        <v>5</v>
      </c>
      <c r="C18">
        <v>43.4</v>
      </c>
    </row>
    <row r="19" spans="1:3" x14ac:dyDescent="0.3">
      <c r="A19" s="1" t="s">
        <v>11</v>
      </c>
      <c r="B19" t="s">
        <v>6</v>
      </c>
      <c r="C19">
        <v>23.5</v>
      </c>
    </row>
    <row r="20" spans="1:3" x14ac:dyDescent="0.3">
      <c r="A20" s="1" t="s">
        <v>12</v>
      </c>
      <c r="B20" t="s">
        <v>4</v>
      </c>
      <c r="C20">
        <v>28.3</v>
      </c>
    </row>
    <row r="21" spans="1:3" x14ac:dyDescent="0.3">
      <c r="A21" s="1" t="s">
        <v>12</v>
      </c>
      <c r="B21" t="s">
        <v>5</v>
      </c>
      <c r="C21">
        <v>45.4</v>
      </c>
    </row>
    <row r="22" spans="1:3" x14ac:dyDescent="0.3">
      <c r="A22" s="1" t="s">
        <v>12</v>
      </c>
      <c r="B22" t="s">
        <v>6</v>
      </c>
      <c r="C22">
        <v>26.3</v>
      </c>
    </row>
    <row r="23" spans="1:3" x14ac:dyDescent="0.3">
      <c r="A23" s="1" t="s">
        <v>13</v>
      </c>
      <c r="B23" t="s">
        <v>4</v>
      </c>
      <c r="C23">
        <v>23.7</v>
      </c>
    </row>
    <row r="24" spans="1:3" x14ac:dyDescent="0.3">
      <c r="A24" s="1" t="s">
        <v>13</v>
      </c>
      <c r="B24" t="s">
        <v>5</v>
      </c>
      <c r="C24">
        <v>46.3</v>
      </c>
    </row>
    <row r="25" spans="1:3" x14ac:dyDescent="0.3">
      <c r="A25" s="1" t="s">
        <v>13</v>
      </c>
      <c r="B25" t="s">
        <v>6</v>
      </c>
      <c r="C25">
        <v>30</v>
      </c>
    </row>
    <row r="26" spans="1:3" x14ac:dyDescent="0.3">
      <c r="A26" t="s">
        <v>14</v>
      </c>
      <c r="B26" t="s">
        <v>4</v>
      </c>
      <c r="C26">
        <v>13.3</v>
      </c>
    </row>
    <row r="27" spans="1:3" x14ac:dyDescent="0.3">
      <c r="A27" t="s">
        <v>14</v>
      </c>
      <c r="B27" t="s">
        <v>5</v>
      </c>
      <c r="C27">
        <v>51</v>
      </c>
    </row>
    <row r="28" spans="1:3" x14ac:dyDescent="0.3">
      <c r="A28" t="s">
        <v>14</v>
      </c>
      <c r="B28" t="s">
        <v>6</v>
      </c>
      <c r="C28">
        <v>35.700000000000003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6168-6FDB-4CA7-85A2-B54A4ED12D67}">
  <dimension ref="A1:I39"/>
  <sheetViews>
    <sheetView topLeftCell="A20" zoomScaleNormal="100" workbookViewId="0">
      <selection activeCell="U52" sqref="U52"/>
    </sheetView>
  </sheetViews>
  <sheetFormatPr defaultRowHeight="14.4" x14ac:dyDescent="0.3"/>
  <cols>
    <col min="1" max="1" width="14.44140625" bestFit="1" customWidth="1"/>
    <col min="2" max="2" width="16.33203125" bestFit="1" customWidth="1"/>
    <col min="3" max="3" width="5" bestFit="1" customWidth="1"/>
    <col min="4" max="8" width="5.6640625" bestFit="1" customWidth="1"/>
    <col min="9" max="9" width="5" bestFit="1" customWidth="1"/>
    <col min="10" max="10" width="7.6640625" bestFit="1" customWidth="1"/>
    <col min="11" max="11" width="11" bestFit="1" customWidth="1"/>
  </cols>
  <sheetData>
    <row r="1" spans="1:2" x14ac:dyDescent="0.3">
      <c r="A1" s="2" t="s">
        <v>0</v>
      </c>
      <c r="B1" t="s">
        <v>3</v>
      </c>
    </row>
    <row r="3" spans="1:2" x14ac:dyDescent="0.3">
      <c r="A3" s="2" t="s">
        <v>15</v>
      </c>
      <c r="B3" t="s">
        <v>17</v>
      </c>
    </row>
    <row r="4" spans="1:2" x14ac:dyDescent="0.3">
      <c r="A4" s="3" t="s">
        <v>4</v>
      </c>
      <c r="B4">
        <v>30.2</v>
      </c>
    </row>
    <row r="5" spans="1:2" x14ac:dyDescent="0.3">
      <c r="A5" s="3" t="s">
        <v>5</v>
      </c>
      <c r="B5">
        <v>44.5</v>
      </c>
    </row>
    <row r="6" spans="1:2" x14ac:dyDescent="0.3">
      <c r="A6" s="3" t="s">
        <v>6</v>
      </c>
      <c r="B6">
        <v>25.2</v>
      </c>
    </row>
    <row r="7" spans="1:2" x14ac:dyDescent="0.3">
      <c r="A7" s="3" t="s">
        <v>16</v>
      </c>
      <c r="B7">
        <v>99.9</v>
      </c>
    </row>
    <row r="10" spans="1:2" x14ac:dyDescent="0.3">
      <c r="A10" s="4"/>
      <c r="B10" s="4" t="s">
        <v>18</v>
      </c>
    </row>
    <row r="11" spans="1:2" x14ac:dyDescent="0.3">
      <c r="A11" s="3" t="s">
        <v>4</v>
      </c>
      <c r="B11">
        <v>30.2</v>
      </c>
    </row>
    <row r="12" spans="1:2" x14ac:dyDescent="0.3">
      <c r="A12" s="3" t="s">
        <v>5</v>
      </c>
      <c r="B12">
        <v>44.5</v>
      </c>
    </row>
    <row r="13" spans="1:2" x14ac:dyDescent="0.3">
      <c r="A13" s="3" t="s">
        <v>6</v>
      </c>
      <c r="B13">
        <v>25.2</v>
      </c>
    </row>
    <row r="29" spans="1:9" x14ac:dyDescent="0.3">
      <c r="A29" s="2" t="s">
        <v>17</v>
      </c>
      <c r="B29" s="2" t="s">
        <v>19</v>
      </c>
    </row>
    <row r="30" spans="1:9" x14ac:dyDescent="0.3">
      <c r="A30" s="2" t="s">
        <v>15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13</v>
      </c>
      <c r="I30" t="s">
        <v>14</v>
      </c>
    </row>
    <row r="31" spans="1:9" x14ac:dyDescent="0.3">
      <c r="A31" s="3" t="s">
        <v>4</v>
      </c>
      <c r="B31">
        <v>50.2</v>
      </c>
      <c r="C31">
        <v>46.4</v>
      </c>
      <c r="D31">
        <v>38.4</v>
      </c>
      <c r="E31">
        <v>34.5</v>
      </c>
      <c r="F31">
        <v>33</v>
      </c>
      <c r="G31">
        <v>28.3</v>
      </c>
      <c r="H31">
        <v>23.7</v>
      </c>
      <c r="I31">
        <v>13.3</v>
      </c>
    </row>
    <row r="32" spans="1:9" x14ac:dyDescent="0.3">
      <c r="A32" s="3" t="s">
        <v>5</v>
      </c>
      <c r="B32">
        <v>37.9</v>
      </c>
      <c r="C32">
        <v>40.1</v>
      </c>
      <c r="D32">
        <v>40.4</v>
      </c>
      <c r="E32">
        <v>42</v>
      </c>
      <c r="F32">
        <v>43.4</v>
      </c>
      <c r="G32">
        <v>45.4</v>
      </c>
      <c r="H32">
        <v>46.3</v>
      </c>
      <c r="I32">
        <v>51</v>
      </c>
    </row>
    <row r="33" spans="1:9" x14ac:dyDescent="0.3">
      <c r="A33" s="3" t="s">
        <v>6</v>
      </c>
      <c r="B33">
        <v>11.9</v>
      </c>
      <c r="C33">
        <v>13.4</v>
      </c>
      <c r="D33">
        <v>21.1</v>
      </c>
      <c r="E33">
        <v>23.4</v>
      </c>
      <c r="F33">
        <v>23.5</v>
      </c>
      <c r="G33">
        <v>26.3</v>
      </c>
      <c r="H33">
        <v>30</v>
      </c>
      <c r="I33">
        <v>35.700000000000003</v>
      </c>
    </row>
    <row r="34" spans="1:9" x14ac:dyDescent="0.3">
      <c r="A34" s="3" t="s">
        <v>16</v>
      </c>
      <c r="B34">
        <v>100</v>
      </c>
      <c r="C34">
        <v>99.9</v>
      </c>
      <c r="D34">
        <v>99.9</v>
      </c>
      <c r="E34">
        <v>99.9</v>
      </c>
      <c r="F34">
        <v>99.9</v>
      </c>
      <c r="G34">
        <v>100</v>
      </c>
      <c r="H34">
        <v>100</v>
      </c>
      <c r="I34">
        <v>100</v>
      </c>
    </row>
    <row r="36" spans="1:9" x14ac:dyDescent="0.3">
      <c r="A36" s="4"/>
      <c r="B36" s="4" t="s">
        <v>7</v>
      </c>
      <c r="C36" s="4" t="s">
        <v>8</v>
      </c>
      <c r="D36" s="4" t="s">
        <v>9</v>
      </c>
      <c r="E36" s="4" t="s">
        <v>10</v>
      </c>
      <c r="F36" s="4" t="s">
        <v>11</v>
      </c>
      <c r="G36" s="4" t="s">
        <v>12</v>
      </c>
      <c r="H36" s="4" t="s">
        <v>13</v>
      </c>
      <c r="I36" s="4" t="s">
        <v>14</v>
      </c>
    </row>
    <row r="37" spans="1:9" x14ac:dyDescent="0.3">
      <c r="A37" s="3" t="s">
        <v>4</v>
      </c>
      <c r="B37">
        <v>50.2</v>
      </c>
      <c r="C37">
        <v>46.4</v>
      </c>
      <c r="D37">
        <v>38.4</v>
      </c>
      <c r="E37">
        <v>34.5</v>
      </c>
      <c r="F37">
        <v>33</v>
      </c>
      <c r="G37">
        <v>28.3</v>
      </c>
      <c r="H37">
        <v>23.7</v>
      </c>
      <c r="I37">
        <v>13.3</v>
      </c>
    </row>
    <row r="38" spans="1:9" x14ac:dyDescent="0.3">
      <c r="A38" s="3" t="s">
        <v>5</v>
      </c>
      <c r="B38">
        <v>37.9</v>
      </c>
      <c r="C38">
        <v>40.1</v>
      </c>
      <c r="D38">
        <v>40.4</v>
      </c>
      <c r="E38">
        <v>42</v>
      </c>
      <c r="F38">
        <v>43.4</v>
      </c>
      <c r="G38">
        <v>45.4</v>
      </c>
      <c r="H38">
        <v>46.3</v>
      </c>
      <c r="I38">
        <v>51</v>
      </c>
    </row>
    <row r="39" spans="1:9" x14ac:dyDescent="0.3">
      <c r="A39" s="3" t="s">
        <v>6</v>
      </c>
      <c r="B39">
        <v>11.9</v>
      </c>
      <c r="C39">
        <v>13.4</v>
      </c>
      <c r="D39">
        <v>21.1</v>
      </c>
      <c r="E39">
        <v>23.4</v>
      </c>
      <c r="F39">
        <v>23.5</v>
      </c>
      <c r="G39">
        <v>26.3</v>
      </c>
      <c r="H39">
        <v>30</v>
      </c>
      <c r="I39">
        <v>35.700000000000003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2-solution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2026-01-23T15:41:38Z</dcterms:created>
  <dcterms:modified xsi:type="dcterms:W3CDTF">2026-01-27T15:31:48Z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2026-01-23T15:58:52Z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32ab30f9-ec74-428f-a060-896df03677e9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